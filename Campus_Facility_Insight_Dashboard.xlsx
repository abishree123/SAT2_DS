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 Shree\Desktop\CampusFacilityInsights\"/>
    </mc:Choice>
  </mc:AlternateContent>
  <xr:revisionPtr revIDLastSave="0" documentId="8_{1EF00EAA-0DDE-4EB9-BD02-D6A8B4741BC9}" xr6:coauthVersionLast="47" xr6:coauthVersionMax="47" xr10:uidLastSave="{00000000-0000-0000-0000-000000000000}"/>
  <bookViews>
    <workbookView xWindow="-108" yWindow="-108" windowWidth="23256" windowHeight="12456" activeTab="4" xr2:uid="{5E044EE3-6D9A-48DC-82B0-456E90925086}"/>
  </bookViews>
  <sheets>
    <sheet name="Sheet1" sheetId="2" r:id="rId1"/>
    <sheet name="Sheet2" sheetId="3" r:id="rId2"/>
    <sheet name="Sheet3" sheetId="4" r:id="rId3"/>
    <sheet name="Sheet4" sheetId="5" r:id="rId4"/>
    <sheet name="facility_utilization_summary" sheetId="1" r:id="rId5"/>
  </sheets>
  <calcPr calcId="0"/>
  <pivotCaches>
    <pivotCache cacheId="19" r:id="rId6"/>
  </pivotCaches>
</workbook>
</file>

<file path=xl/sharedStrings.xml><?xml version="1.0" encoding="utf-8"?>
<sst xmlns="http://schemas.openxmlformats.org/spreadsheetml/2006/main" count="37" uniqueCount="14">
  <si>
    <t>facility</t>
  </si>
  <si>
    <t>average_occupancy</t>
  </si>
  <si>
    <t>average_utilization_pct</t>
  </si>
  <si>
    <t>peak_occupancy</t>
  </si>
  <si>
    <t>capacity</t>
  </si>
  <si>
    <t>Room 101</t>
  </si>
  <si>
    <t>Lab A</t>
  </si>
  <si>
    <t>Library Hall</t>
  </si>
  <si>
    <t>Seminar Hall</t>
  </si>
  <si>
    <t>Lab B</t>
  </si>
  <si>
    <t>Room 102</t>
  </si>
  <si>
    <t>Row Labels</t>
  </si>
  <si>
    <t>Grand Total</t>
  </si>
  <si>
    <t>Sum of average_utilization_pct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</si>
</sst>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Facility Occupancy vs Utilization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facility_utilization_summary!$B$1</c:f>
              <c:strCache>
                <c:ptCount val="1"/>
                <c:pt idx="0">
                  <c:v>average_occupancy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facility_utilization_summary!$A$2:$A$7</c:f>
              <c:strCache>
                <c:ptCount val="6"/>
                <c:pt idx="0">
                  <c:v>Room 101</c:v>
                </c:pt>
                <c:pt idx="1">
                  <c:v>Lab A</c:v>
                </c:pt>
                <c:pt idx="2">
                  <c:v>Library Hall</c:v>
                </c:pt>
                <c:pt idx="3">
                  <c:v>Seminar Hall</c:v>
                </c:pt>
                <c:pt idx="4">
                  <c:v>Lab B</c:v>
                </c:pt>
                <c:pt idx="5">
                  <c:v>Room 102</c:v>
                </c:pt>
              </c:strCache>
            </c:strRef>
          </c:cat>
          <c:val>
            <c:numRef>
              <c:f>facility_utilization_summary!$B$2:$B$7</c:f>
              <c:numCache>
                <c:formatCode>General</c:formatCode>
                <c:ptCount val="6"/>
                <c:pt idx="0">
                  <c:v>37.25</c:v>
                </c:pt>
                <c:pt idx="1">
                  <c:v>55.5</c:v>
                </c:pt>
                <c:pt idx="2">
                  <c:v>65.5</c:v>
                </c:pt>
                <c:pt idx="3">
                  <c:v>66.75</c:v>
                </c:pt>
                <c:pt idx="4">
                  <c:v>16.600000000000001</c:v>
                </c:pt>
                <c:pt idx="5">
                  <c:v>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5-41EE-9AE9-ABAF794083D1}"/>
            </c:ext>
          </c:extLst>
        </c:ser>
        <c:ser>
          <c:idx val="1"/>
          <c:order val="1"/>
          <c:tx>
            <c:strRef>
              <c:f>facility_utilization_summary!$C$1</c:f>
              <c:strCache>
                <c:ptCount val="1"/>
                <c:pt idx="0">
                  <c:v>average_utilization_pct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facility_utilization_summary!$A$2:$A$7</c:f>
              <c:strCache>
                <c:ptCount val="6"/>
                <c:pt idx="0">
                  <c:v>Room 101</c:v>
                </c:pt>
                <c:pt idx="1">
                  <c:v>Lab A</c:v>
                </c:pt>
                <c:pt idx="2">
                  <c:v>Library Hall</c:v>
                </c:pt>
                <c:pt idx="3">
                  <c:v>Seminar Hall</c:v>
                </c:pt>
                <c:pt idx="4">
                  <c:v>Lab B</c:v>
                </c:pt>
                <c:pt idx="5">
                  <c:v>Room 102</c:v>
                </c:pt>
              </c:strCache>
            </c:strRef>
          </c:cat>
          <c:val>
            <c:numRef>
              <c:f>facility_utilization_summary!$C$2:$C$7</c:f>
              <c:numCache>
                <c:formatCode>General</c:formatCode>
                <c:ptCount val="6"/>
                <c:pt idx="0">
                  <c:v>93.125</c:v>
                </c:pt>
                <c:pt idx="1">
                  <c:v>92.5</c:v>
                </c:pt>
                <c:pt idx="2">
                  <c:v>65.5</c:v>
                </c:pt>
                <c:pt idx="3">
                  <c:v>55.625</c:v>
                </c:pt>
                <c:pt idx="4">
                  <c:v>27.6666666666666</c:v>
                </c:pt>
                <c:pt idx="5">
                  <c:v>25.625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5-41EE-9AE9-ABAF7940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292655"/>
        <c:axId val="794534159"/>
      </c:barChart>
      <c:catAx>
        <c:axId val="72029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34159"/>
        <c:crosses val="autoZero"/>
        <c:auto val="1"/>
        <c:lblAlgn val="ctr"/>
        <c:lblOffset val="100"/>
        <c:noMultiLvlLbl val="0"/>
      </c:catAx>
      <c:valAx>
        <c:axId val="79453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9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Facility Utilization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facility_utilization_summary!$H$1</c:f>
              <c:strCache>
                <c:ptCount val="1"/>
                <c:pt idx="0">
                  <c:v>average_utilization_pct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facility_utilization_summary!$G$2:$G$7</c:f>
              <c:strCache>
                <c:ptCount val="6"/>
                <c:pt idx="0">
                  <c:v>Room 101</c:v>
                </c:pt>
                <c:pt idx="1">
                  <c:v>Lab A</c:v>
                </c:pt>
                <c:pt idx="2">
                  <c:v>Library Hall</c:v>
                </c:pt>
                <c:pt idx="3">
                  <c:v>Seminar Hall</c:v>
                </c:pt>
                <c:pt idx="4">
                  <c:v>Lab B</c:v>
                </c:pt>
                <c:pt idx="5">
                  <c:v>Room 102</c:v>
                </c:pt>
              </c:strCache>
            </c:strRef>
          </c:cat>
          <c:val>
            <c:numRef>
              <c:f>facility_utilization_summary!$H$2:$H$7</c:f>
              <c:numCache>
                <c:formatCode>General</c:formatCode>
                <c:ptCount val="6"/>
                <c:pt idx="0">
                  <c:v>93.125</c:v>
                </c:pt>
                <c:pt idx="1">
                  <c:v>92.5</c:v>
                </c:pt>
                <c:pt idx="2">
                  <c:v>65.5</c:v>
                </c:pt>
                <c:pt idx="3">
                  <c:v>55.625</c:v>
                </c:pt>
                <c:pt idx="4">
                  <c:v>27.6666666666666</c:v>
                </c:pt>
                <c:pt idx="5">
                  <c:v>25.625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7-4B98-A833-F85839C8C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337087"/>
        <c:axId val="794503439"/>
      </c:barChart>
      <c:catAx>
        <c:axId val="98433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03439"/>
        <c:crosses val="autoZero"/>
        <c:auto val="1"/>
        <c:lblAlgn val="ctr"/>
        <c:lblOffset val="100"/>
        <c:noMultiLvlLbl val="0"/>
      </c:catAx>
      <c:valAx>
        <c:axId val="7945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3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556260</xdr:colOff>
      <xdr:row>8</xdr:row>
      <xdr:rowOff>148590</xdr:rowOff>
    </xdr:from>
    <xdr:to>
      <xdr:col>17</xdr:col>
      <xdr:colOff>251460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F26F0-E289-B208-DDDD-B6C82F153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525780</xdr:colOff>
      <xdr:row>8</xdr:row>
      <xdr:rowOff>80010</xdr:rowOff>
    </xdr:from>
    <xdr:to>
      <xdr:col>8</xdr:col>
      <xdr:colOff>220980</xdr:colOff>
      <xdr:row>23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3A3D0-D051-319A-F751-82DB8CFE7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 Shree" refreshedDate="46307.541348263891" createdVersion="8" refreshedVersion="8" minRefreshableVersion="3" recordCount="6" xr:uid="{F906019E-D56E-43C0-9734-D9EFD7921B96}">
  <cacheSource type="worksheet">
    <worksheetSource ref="A1:E7" sheet="facility_utilization_summary"/>
  </cacheSource>
  <cacheFields count="5">
    <cacheField name="facility" numFmtId="0">
      <sharedItems count="6">
        <s v="Room 101"/>
        <s v="Lab A"/>
        <s v="Library Hall"/>
        <s v="Seminar Hall"/>
        <s v="Lab B"/>
        <s v="Room 102"/>
      </sharedItems>
    </cacheField>
    <cacheField name="average_occupancy" numFmtId="0">
      <sharedItems containsSemiMixedTypes="0" containsString="0" containsNumber="1" minValue="10.25" maxValue="66.75"/>
    </cacheField>
    <cacheField name="average_utilization_pct" numFmtId="0">
      <sharedItems containsSemiMixedTypes="0" containsString="0" containsNumber="1" minValue="25.625" maxValue="93.125"/>
    </cacheField>
    <cacheField name="peak_occupancy" numFmtId="0">
      <sharedItems containsSemiMixedTypes="0" containsString="0" containsNumber="1" containsInteger="1" minValue="12" maxValue="92"/>
    </cacheField>
    <cacheField name="capacity" numFmtId="0">
      <sharedItems containsSemiMixedTypes="0" containsString="0" containsNumber="1" containsInteger="1" minValue="4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7.25"/>
    <n v="93.125"/>
    <n v="41"/>
    <n v="40"/>
  </r>
  <r>
    <x v="1"/>
    <n v="55.5"/>
    <n v="92.5"/>
    <n v="58"/>
    <n v="60"/>
  </r>
  <r>
    <x v="2"/>
    <n v="65.5"/>
    <n v="65.5"/>
    <n v="82"/>
    <n v="100"/>
  </r>
  <r>
    <x v="3"/>
    <n v="66.75"/>
    <n v="55.625"/>
    <n v="92"/>
    <n v="120"/>
  </r>
  <r>
    <x v="4"/>
    <n v="16.600000000000001"/>
    <n v="27.6666666666666"/>
    <n v="20"/>
    <n v="60"/>
  </r>
  <r>
    <x v="5"/>
    <n v="10.25"/>
    <n v="25.625"/>
    <n v="12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34F3D-22D8-4ADA-92A7-02CC9F4F3A5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C33B8-D7B9-4E9E-8F3F-B404831CB64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7">
        <item x="1"/>
        <item x="4"/>
        <item x="2"/>
        <item x="0"/>
        <item x="5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erage_utilization_pct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0A8BB-0C0F-4EDE-8FAE-927F3F376E58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axis="axisRow" showAll="0">
      <items count="7">
        <item x="1"/>
        <item x="4"/>
        <item x="2"/>
        <item x="0"/>
        <item x="5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erage_utilization_pc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0525-EC82-454A-8C6E-4B5C4D8E2D01}">
  <dimension ref="A3:C20"/>
  <sheetViews>
    <sheetView workbookViewId="0">
      <selection activeCell="D5" sqref="D5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DBEF-582C-4518-A02B-2F7395D6EF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945A-4B54-472C-A85B-2B2914025D7D}">
  <dimension ref="A3:B10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26.6640625" bestFit="1" customWidth="1"/>
  </cols>
  <sheetData>
    <row r="3" spans="1:2" x14ac:dyDescent="0.3">
      <c r="A3" s="10" t="s">
        <v>11</v>
      </c>
      <c r="B3" t="s">
        <v>13</v>
      </c>
    </row>
    <row r="4" spans="1:2" x14ac:dyDescent="0.3">
      <c r="A4" s="11" t="s">
        <v>6</v>
      </c>
      <c r="B4" s="13">
        <v>92.5</v>
      </c>
    </row>
    <row r="5" spans="1:2" x14ac:dyDescent="0.3">
      <c r="A5" s="11" t="s">
        <v>9</v>
      </c>
      <c r="B5" s="13">
        <v>27.6666666666666</v>
      </c>
    </row>
    <row r="6" spans="1:2" x14ac:dyDescent="0.3">
      <c r="A6" s="11" t="s">
        <v>7</v>
      </c>
      <c r="B6" s="13">
        <v>65.5</v>
      </c>
    </row>
    <row r="7" spans="1:2" x14ac:dyDescent="0.3">
      <c r="A7" s="11" t="s">
        <v>5</v>
      </c>
      <c r="B7" s="13">
        <v>93.125</v>
      </c>
    </row>
    <row r="8" spans="1:2" x14ac:dyDescent="0.3">
      <c r="A8" s="11" t="s">
        <v>10</v>
      </c>
      <c r="B8" s="13">
        <v>25.625</v>
      </c>
    </row>
    <row r="9" spans="1:2" x14ac:dyDescent="0.3">
      <c r="A9" s="11" t="s">
        <v>8</v>
      </c>
      <c r="B9" s="13">
        <v>55.625</v>
      </c>
    </row>
    <row r="10" spans="1:2" x14ac:dyDescent="0.3">
      <c r="A10" s="11" t="s">
        <v>12</v>
      </c>
      <c r="B10" s="13">
        <v>360.04166666666663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04BC-9C8E-4FC6-B828-33ACE590B9B2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6.6640625" bestFit="1" customWidth="1"/>
  </cols>
  <sheetData>
    <row r="3" spans="1:2" x14ac:dyDescent="0.3">
      <c r="A3" s="10" t="s">
        <v>11</v>
      </c>
      <c r="B3" t="s">
        <v>13</v>
      </c>
    </row>
    <row r="4" spans="1:2" x14ac:dyDescent="0.3">
      <c r="A4" s="11" t="s">
        <v>6</v>
      </c>
      <c r="B4" s="12">
        <v>92.5</v>
      </c>
    </row>
    <row r="5" spans="1:2" x14ac:dyDescent="0.3">
      <c r="A5" s="11" t="s">
        <v>9</v>
      </c>
      <c r="B5" s="12">
        <v>27.6666666666666</v>
      </c>
    </row>
    <row r="6" spans="1:2" x14ac:dyDescent="0.3">
      <c r="A6" s="11" t="s">
        <v>7</v>
      </c>
      <c r="B6" s="12">
        <v>65.5</v>
      </c>
    </row>
    <row r="7" spans="1:2" x14ac:dyDescent="0.3">
      <c r="A7" s="11" t="s">
        <v>5</v>
      </c>
      <c r="B7" s="12">
        <v>93.125</v>
      </c>
    </row>
    <row r="8" spans="1:2" x14ac:dyDescent="0.3">
      <c r="A8" s="11" t="s">
        <v>10</v>
      </c>
      <c r="B8" s="12">
        <v>25.625</v>
      </c>
    </row>
    <row r="9" spans="1:2" x14ac:dyDescent="0.3">
      <c r="A9" s="11" t="s">
        <v>8</v>
      </c>
      <c r="B9" s="12">
        <v>55.625</v>
      </c>
    </row>
    <row r="10" spans="1:2" x14ac:dyDescent="0.3">
      <c r="A10" s="11" t="s">
        <v>12</v>
      </c>
      <c r="B10" s="12">
        <v>360.04166666666663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943F-7645-4287-BE27-1D3946A4E906}">
  <dimension ref="A1:H7"/>
  <sheetViews>
    <sheetView tabSelected="1" workbookViewId="0">
      <selection activeCell="A2" sqref="A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2</v>
      </c>
    </row>
    <row r="2" spans="1:8" x14ac:dyDescent="0.3">
      <c r="A2" t="s">
        <v>5</v>
      </c>
      <c r="B2">
        <v>37.25</v>
      </c>
      <c r="C2">
        <v>93.125</v>
      </c>
      <c r="D2">
        <v>41</v>
      </c>
      <c r="E2">
        <v>40</v>
      </c>
      <c r="G2" t="s">
        <v>5</v>
      </c>
      <c r="H2">
        <v>93.125</v>
      </c>
    </row>
    <row r="3" spans="1:8" x14ac:dyDescent="0.3">
      <c r="A3" t="s">
        <v>6</v>
      </c>
      <c r="B3">
        <v>55.5</v>
      </c>
      <c r="C3">
        <v>92.5</v>
      </c>
      <c r="D3">
        <v>58</v>
      </c>
      <c r="E3">
        <v>60</v>
      </c>
      <c r="G3" t="s">
        <v>6</v>
      </c>
      <c r="H3">
        <v>92.5</v>
      </c>
    </row>
    <row r="4" spans="1:8" x14ac:dyDescent="0.3">
      <c r="A4" t="s">
        <v>7</v>
      </c>
      <c r="B4">
        <v>65.5</v>
      </c>
      <c r="C4">
        <v>65.5</v>
      </c>
      <c r="D4">
        <v>82</v>
      </c>
      <c r="E4">
        <v>100</v>
      </c>
      <c r="G4" t="s">
        <v>7</v>
      </c>
      <c r="H4">
        <v>65.5</v>
      </c>
    </row>
    <row r="5" spans="1:8" x14ac:dyDescent="0.3">
      <c r="A5" t="s">
        <v>8</v>
      </c>
      <c r="B5">
        <v>66.75</v>
      </c>
      <c r="C5">
        <v>55.625</v>
      </c>
      <c r="D5">
        <v>92</v>
      </c>
      <c r="E5">
        <v>120</v>
      </c>
      <c r="G5" t="s">
        <v>8</v>
      </c>
      <c r="H5">
        <v>55.625</v>
      </c>
    </row>
    <row r="6" spans="1:8" x14ac:dyDescent="0.3">
      <c r="A6" t="s">
        <v>9</v>
      </c>
      <c r="B6">
        <v>16.600000000000001</v>
      </c>
      <c r="C6">
        <v>27.6666666666666</v>
      </c>
      <c r="D6">
        <v>20</v>
      </c>
      <c r="E6">
        <v>60</v>
      </c>
      <c r="G6" t="s">
        <v>9</v>
      </c>
      <c r="H6">
        <v>27.6666666666666</v>
      </c>
    </row>
    <row r="7" spans="1:8" x14ac:dyDescent="0.3">
      <c r="A7" t="s">
        <v>10</v>
      </c>
      <c r="B7">
        <v>10.25</v>
      </c>
      <c r="C7">
        <v>25.625</v>
      </c>
      <c r="D7">
        <v>12</v>
      </c>
      <c r="E7">
        <v>40</v>
      </c>
      <c r="G7" t="s">
        <v>10</v>
      </c>
      <c r="H7">
        <v>25.625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facility_utilization_summary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Shree</dc:creator>
  <cp:lastModifiedBy>ajabiramar@gmail.com</cp:lastModifiedBy>
  <dcterms:created xsi:type="dcterms:W3CDTF">2026-10-12T08:49:37Z</dcterms:created>
  <dcterms:modified xsi:type="dcterms:W3CDTF">2026-10-12T09:27:59Z</dcterms:modified>
</cp:coreProperties>
</file>